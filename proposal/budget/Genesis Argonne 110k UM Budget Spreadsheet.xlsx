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Volumes/aero-server/business/Research Administration/Vinuesa/Pre Award/PAFs/FY26/GENESIS collab with Arbonne/"/>
    </mc:Choice>
  </mc:AlternateContent>
  <xr:revisionPtr revIDLastSave="0" documentId="8_{60C8F582-F355-4A43-9F89-A385362D253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udget" sheetId="1" r:id="rId1"/>
  </sheets>
  <definedNames>
    <definedName name="__shared_1_0_8">#REF!-#REF!-#REF!</definedName>
    <definedName name="__shared_1_0_9">#REF!*0.555</definedName>
    <definedName name="_xlnm.Print_Area" localSheetId="0">Budget!$A$1:$Q$54</definedName>
    <definedName name="Print_Area_1">Budget!$A$2:$H$37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" i="1" l="1"/>
  <c r="M37" i="1"/>
  <c r="G12" i="1"/>
  <c r="G17" i="1"/>
  <c r="G31" i="1"/>
  <c r="G32" i="1"/>
  <c r="M31" i="1"/>
  <c r="N31" i="1" s="1"/>
  <c r="O31" i="1" s="1"/>
  <c r="P31" i="1" s="1"/>
  <c r="N37" i="1"/>
  <c r="N36" i="1"/>
  <c r="N38" i="1"/>
  <c r="N39" i="1"/>
  <c r="M17" i="1"/>
  <c r="N17" i="1" s="1"/>
  <c r="O17" i="1" s="1"/>
  <c r="P17" i="1" s="1"/>
  <c r="M11" i="1"/>
  <c r="N11" i="1" s="1"/>
  <c r="O11" i="1" s="1"/>
  <c r="P11" i="1" s="1"/>
  <c r="N43" i="1" l="1"/>
  <c r="G29" i="1" s="1"/>
  <c r="H29" i="1" s="1"/>
  <c r="G19" i="1"/>
  <c r="H27" i="1"/>
  <c r="M32" i="1"/>
  <c r="H32" i="1" l="1"/>
  <c r="N32" i="1"/>
  <c r="H31" i="1" l="1"/>
  <c r="O32" i="1"/>
  <c r="P32" i="1" s="1"/>
  <c r="G11" i="1"/>
  <c r="G23" i="1" l="1"/>
  <c r="G13" i="1"/>
  <c r="G24" i="1" s="1"/>
  <c r="H17" i="1"/>
  <c r="H19" i="1"/>
  <c r="G34" i="1" l="1"/>
  <c r="G35" i="1" s="1"/>
  <c r="G16" i="1"/>
  <c r="G8" i="1"/>
  <c r="J11" i="1"/>
  <c r="C11" i="1" s="1"/>
  <c r="H14" i="1" l="1"/>
  <c r="H16" i="1"/>
  <c r="H23" i="1" l="1"/>
  <c r="G36" i="1" l="1"/>
  <c r="G37" i="1" s="1"/>
  <c r="H28" i="1"/>
  <c r="H12" i="1"/>
  <c r="H11" i="1"/>
  <c r="H24" i="1" l="1"/>
  <c r="H34" i="1" s="1"/>
  <c r="H13" i="1"/>
  <c r="H35" i="1" l="1"/>
  <c r="H36" i="1" s="1"/>
  <c r="H37" i="1" s="1"/>
</calcChain>
</file>

<file path=xl/sharedStrings.xml><?xml version="1.0" encoding="utf-8"?>
<sst xmlns="http://schemas.openxmlformats.org/spreadsheetml/2006/main" count="63" uniqueCount="55">
  <si>
    <t>Summary</t>
  </si>
  <si>
    <t>Salaries and Wages</t>
  </si>
  <si>
    <t>Other Direct Costs</t>
  </si>
  <si>
    <t>Total Direct Costs</t>
  </si>
  <si>
    <t>Facilities and Administrative Base</t>
  </si>
  <si>
    <t>Total Costs to Sponsor</t>
  </si>
  <si>
    <t>Sponsor:</t>
  </si>
  <si>
    <t>Total Salaries</t>
  </si>
  <si>
    <t>Total Fringe Benefits</t>
  </si>
  <si>
    <t xml:space="preserve">Fringe Benefits at </t>
  </si>
  <si>
    <t>Title:</t>
  </si>
  <si>
    <t>Sponsored Funds Budget</t>
  </si>
  <si>
    <t xml:space="preserve">Facilities and Administrative Costs  </t>
  </si>
  <si>
    <t>Year 1</t>
  </si>
  <si>
    <t>Personnel</t>
  </si>
  <si>
    <t>GSRA Status</t>
  </si>
  <si>
    <t>Inflation Rate</t>
  </si>
  <si>
    <t>Base</t>
  </si>
  <si>
    <t>Subtotal</t>
  </si>
  <si>
    <t>Multiplier</t>
  </si>
  <si>
    <t>Line Total</t>
  </si>
  <si>
    <t>Lodging</t>
  </si>
  <si>
    <t>PI:</t>
  </si>
  <si>
    <t>effort per year</t>
  </si>
  <si>
    <t>PreCandidate (per term)</t>
  </si>
  <si>
    <t>Candidate (per term)</t>
  </si>
  <si>
    <t>TBN</t>
  </si>
  <si>
    <t>AY</t>
  </si>
  <si>
    <t>GSRA (monthly)</t>
  </si>
  <si>
    <r>
      <rPr>
        <b/>
        <sz val="12"/>
        <color rgb="FFFF0000"/>
        <rFont val="Times New Roman"/>
        <family val="1"/>
      </rPr>
      <t>NOTE:</t>
    </r>
    <r>
      <rPr>
        <sz val="12"/>
        <color rgb="FFFF0000"/>
        <rFont val="Times New Roman"/>
        <family val="1"/>
      </rPr>
      <t xml:space="preserve"> A 50% GSRA appointment is considered full-time as the other 50% of their time is dedicated to studies and other academic pursuits. </t>
    </r>
  </si>
  <si>
    <t>Project Start:</t>
  </si>
  <si>
    <t>Ground Transportation</t>
  </si>
  <si>
    <t>Temp. Undergrad.</t>
  </si>
  <si>
    <t>Temporary Undergrad.</t>
  </si>
  <si>
    <t>$15/hr.</t>
  </si>
  <si>
    <t>N/A</t>
  </si>
  <si>
    <t>FICA Tax</t>
  </si>
  <si>
    <t>PI</t>
  </si>
  <si>
    <t>Total per trip:</t>
  </si>
  <si>
    <t>Airfare (origin: DTW)</t>
  </si>
  <si>
    <t>Current rate</t>
  </si>
  <si>
    <t>Ricardo Vinuesa</t>
  </si>
  <si>
    <t>U-M High Performance Computing Time</t>
  </si>
  <si>
    <t>PreCandidate Tuition  (IDC Exempt)</t>
  </si>
  <si>
    <t>Candidate Tuition (IDC Exempt)</t>
  </si>
  <si>
    <t>7/1/26-3/31/27</t>
  </si>
  <si>
    <t>Foundation Models for Automated Design of  Energy Flow Systems</t>
  </si>
  <si>
    <t>Department of Energy, collaborative with Argonne National Laboratory as Lead</t>
  </si>
  <si>
    <t>of 1 summer months</t>
  </si>
  <si>
    <t>Computer Supplies</t>
  </si>
  <si>
    <t>Per Diem (75% on first and last days)</t>
  </si>
  <si>
    <t>Travel to Biannual Project Review Meetings in Lemont, IL</t>
  </si>
  <si>
    <t>Biannual Project review meetings, 3 night trip for PI to Argonne National Laboratory in Lemont, IL</t>
  </si>
  <si>
    <t>3 night trip for PI</t>
  </si>
  <si>
    <t>GSRA:Candidate (9/1/26-3/31/27)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</si>
</sst>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#,##0.0"/>
    <numFmt numFmtId="165" formatCode="0.0"/>
    <numFmt numFmtId="166" formatCode="_(&quot;$&quot;* #,##0_);_(&quot;$&quot;* \(#,##0\);_(&quot;$&quot;* &quot;-&quot;??_);_(@_)"/>
    <numFmt numFmtId="167" formatCode="#,##0.000"/>
  </numFmts>
  <fonts count="21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</font>
    <font>
      <b/>
      <u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rgb="FF0070C0"/>
      <name val="Times New Roman"/>
      <family val="1"/>
    </font>
    <font>
      <sz val="12"/>
      <color theme="0" tint="-4.9989318521683403E-2"/>
      <name val="Times New Roman"/>
      <family val="1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1"/>
      </left>
      <right/>
      <top/>
      <bottom style="thin">
        <color theme="0" tint="-0.2499465926084170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auto="1"/>
      </right>
      <top/>
      <bottom style="thin">
        <color theme="0" tint="-0.24994659260841701"/>
      </bottom>
      <diagonal/>
    </border>
    <border>
      <left style="medium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 style="thin">
        <color theme="0" tint="-0.2499465926084170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1"/>
      </bottom>
      <diagonal/>
    </border>
    <border>
      <left/>
      <right/>
      <top style="thin">
        <color theme="0" tint="-0.24994659260841701"/>
      </top>
      <bottom style="thin">
        <color theme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1"/>
      </bottom>
      <diagonal/>
    </border>
    <border>
      <left style="medium">
        <color auto="1"/>
      </left>
      <right style="thin">
        <color indexed="64"/>
      </right>
      <top style="thin">
        <color theme="0" tint="-0.2499465926084170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6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14" fontId="3" fillId="0" borderId="0" xfId="0" applyNumberFormat="1" applyFont="1"/>
    <xf numFmtId="3" fontId="3" fillId="0" borderId="2" xfId="0" applyNumberFormat="1" applyFont="1" applyBorder="1" applyAlignment="1">
      <alignment horizontal="right"/>
    </xf>
    <xf numFmtId="164" fontId="3" fillId="0" borderId="0" xfId="0" applyNumberFormat="1" applyFont="1"/>
    <xf numFmtId="0" fontId="3" fillId="0" borderId="3" xfId="0" applyFont="1" applyBorder="1"/>
    <xf numFmtId="3" fontId="3" fillId="0" borderId="4" xfId="0" applyNumberFormat="1" applyFont="1" applyBorder="1" applyAlignment="1">
      <alignment horizontal="center"/>
    </xf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3" fontId="3" fillId="0" borderId="1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0" fontId="5" fillId="0" borderId="8" xfId="0" applyFont="1" applyBorder="1"/>
    <xf numFmtId="0" fontId="5" fillId="0" borderId="3" xfId="0" applyFont="1" applyBorder="1"/>
    <xf numFmtId="3" fontId="5" fillId="0" borderId="4" xfId="0" applyNumberFormat="1" applyFont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3" fontId="5" fillId="0" borderId="15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9" fontId="5" fillId="0" borderId="14" xfId="0" applyNumberFormat="1" applyFont="1" applyBorder="1" applyAlignment="1">
      <alignment horizontal="center"/>
    </xf>
    <xf numFmtId="0" fontId="4" fillId="0" borderId="0" xfId="0" applyFont="1"/>
    <xf numFmtId="0" fontId="5" fillId="0" borderId="17" xfId="0" applyFont="1" applyBorder="1"/>
    <xf numFmtId="0" fontId="5" fillId="0" borderId="0" xfId="0" applyFont="1"/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3" xfId="0" applyNumberFormat="1" applyFont="1" applyBorder="1"/>
    <xf numFmtId="0" fontId="8" fillId="0" borderId="4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3" fontId="3" fillId="0" borderId="1" xfId="0" applyNumberFormat="1" applyFont="1" applyBorder="1"/>
    <xf numFmtId="0" fontId="3" fillId="0" borderId="5" xfId="0" applyFont="1" applyBorder="1" applyAlignment="1">
      <alignment horizontal="center"/>
    </xf>
    <xf numFmtId="3" fontId="3" fillId="0" borderId="9" xfId="0" applyNumberFormat="1" applyFont="1" applyBorder="1"/>
    <xf numFmtId="3" fontId="3" fillId="0" borderId="10" xfId="0" applyNumberFormat="1" applyFont="1" applyBorder="1"/>
    <xf numFmtId="0" fontId="5" fillId="0" borderId="25" xfId="0" applyFont="1" applyBorder="1"/>
    <xf numFmtId="9" fontId="5" fillId="0" borderId="19" xfId="0" applyNumberFormat="1" applyFont="1" applyBorder="1" applyAlignment="1">
      <alignment horizontal="center"/>
    </xf>
    <xf numFmtId="0" fontId="3" fillId="0" borderId="32" xfId="0" applyFont="1" applyBorder="1"/>
    <xf numFmtId="3" fontId="5" fillId="0" borderId="10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14" fontId="8" fillId="0" borderId="8" xfId="0" applyNumberFormat="1" applyFont="1" applyBorder="1" applyAlignment="1">
      <alignment horizontal="left"/>
    </xf>
    <xf numFmtId="3" fontId="3" fillId="0" borderId="10" xfId="0" applyNumberFormat="1" applyFont="1" applyBorder="1" applyAlignment="1">
      <alignment horizontal="left"/>
    </xf>
    <xf numFmtId="14" fontId="8" fillId="0" borderId="3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left"/>
    </xf>
    <xf numFmtId="9" fontId="3" fillId="0" borderId="36" xfId="0" applyNumberFormat="1" applyFont="1" applyBorder="1" applyAlignment="1">
      <alignment horizontal="left"/>
    </xf>
    <xf numFmtId="3" fontId="3" fillId="0" borderId="0" xfId="0" applyNumberFormat="1" applyFont="1" applyAlignment="1">
      <alignment horizontal="left"/>
    </xf>
    <xf numFmtId="3" fontId="5" fillId="0" borderId="8" xfId="0" applyNumberFormat="1" applyFont="1" applyBorder="1" applyAlignment="1">
      <alignment horizontal="left"/>
    </xf>
    <xf numFmtId="3" fontId="5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9" fontId="4" fillId="0" borderId="0" xfId="2" applyFont="1" applyFill="1" applyBorder="1" applyAlignment="1">
      <alignment horizontal="right"/>
    </xf>
    <xf numFmtId="3" fontId="11" fillId="0" borderId="0" xfId="0" applyNumberFormat="1" applyFont="1" applyAlignment="1">
      <alignment horizontal="center"/>
    </xf>
    <xf numFmtId="0" fontId="14" fillId="0" borderId="0" xfId="0" applyFont="1"/>
    <xf numFmtId="3" fontId="13" fillId="0" borderId="9" xfId="0" applyNumberFormat="1" applyFont="1" applyBorder="1"/>
    <xf numFmtId="3" fontId="12" fillId="0" borderId="0" xfId="0" applyNumberFormat="1" applyFont="1" applyAlignment="1">
      <alignment horizontal="left"/>
    </xf>
    <xf numFmtId="0" fontId="5" fillId="2" borderId="10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14" fontId="8" fillId="0" borderId="0" xfId="0" applyNumberFormat="1" applyFont="1" applyAlignment="1">
      <alignment horizontal="center"/>
    </xf>
    <xf numFmtId="0" fontId="8" fillId="0" borderId="7" xfId="0" applyFont="1" applyBorder="1" applyAlignment="1">
      <alignment horizontal="center" wrapText="1"/>
    </xf>
    <xf numFmtId="14" fontId="9" fillId="2" borderId="6" xfId="0" applyNumberFormat="1" applyFont="1" applyFill="1" applyBorder="1" applyAlignment="1">
      <alignment horizontal="center"/>
    </xf>
    <xf numFmtId="3" fontId="8" fillId="2" borderId="4" xfId="0" applyNumberFormat="1" applyFont="1" applyFill="1" applyBorder="1" applyAlignment="1">
      <alignment horizontal="center"/>
    </xf>
    <xf numFmtId="14" fontId="17" fillId="2" borderId="6" xfId="10" applyNumberFormat="1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left"/>
    </xf>
    <xf numFmtId="9" fontId="13" fillId="0" borderId="0" xfId="2" applyFont="1" applyFill="1" applyBorder="1" applyAlignment="1">
      <alignment horizontal="right"/>
    </xf>
    <xf numFmtId="3" fontId="3" fillId="0" borderId="13" xfId="0" applyNumberFormat="1" applyFont="1" applyBorder="1"/>
    <xf numFmtId="3" fontId="3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right"/>
    </xf>
    <xf numFmtId="0" fontId="3" fillId="0" borderId="35" xfId="0" applyFont="1" applyBorder="1"/>
    <xf numFmtId="165" fontId="4" fillId="0" borderId="36" xfId="0" applyNumberFormat="1" applyFont="1" applyBorder="1" applyAlignment="1">
      <alignment horizontal="right"/>
    </xf>
    <xf numFmtId="0" fontId="3" fillId="0" borderId="36" xfId="0" applyFont="1" applyBorder="1"/>
    <xf numFmtId="3" fontId="3" fillId="0" borderId="37" xfId="0" applyNumberFormat="1" applyFont="1" applyBorder="1" applyAlignment="1">
      <alignment horizontal="center"/>
    </xf>
    <xf numFmtId="3" fontId="3" fillId="0" borderId="34" xfId="0" applyNumberFormat="1" applyFont="1" applyBorder="1" applyAlignment="1">
      <alignment horizontal="right"/>
    </xf>
    <xf numFmtId="0" fontId="3" fillId="0" borderId="8" xfId="0" applyFont="1" applyBorder="1"/>
    <xf numFmtId="0" fontId="3" fillId="0" borderId="21" xfId="0" applyFont="1" applyBorder="1"/>
    <xf numFmtId="0" fontId="3" fillId="0" borderId="22" xfId="0" applyFont="1" applyBorder="1"/>
    <xf numFmtId="3" fontId="3" fillId="0" borderId="24" xfId="0" applyNumberFormat="1" applyFont="1" applyBorder="1" applyAlignment="1">
      <alignment horizontal="center"/>
    </xf>
    <xf numFmtId="3" fontId="3" fillId="0" borderId="23" xfId="0" applyNumberFormat="1" applyFont="1" applyBorder="1" applyAlignment="1">
      <alignment horizontal="right"/>
    </xf>
    <xf numFmtId="0" fontId="11" fillId="0" borderId="13" xfId="0" applyFont="1" applyBorder="1"/>
    <xf numFmtId="10" fontId="3" fillId="0" borderId="36" xfId="0" applyNumberFormat="1" applyFont="1" applyBorder="1" applyAlignment="1">
      <alignment horizontal="left"/>
    </xf>
    <xf numFmtId="0" fontId="3" fillId="3" borderId="12" xfId="0" applyFont="1" applyFill="1" applyBorder="1"/>
    <xf numFmtId="0" fontId="3" fillId="3" borderId="13" xfId="0" applyFont="1" applyFill="1" applyBorder="1"/>
    <xf numFmtId="3" fontId="3" fillId="3" borderId="14" xfId="0" applyNumberFormat="1" applyFont="1" applyFill="1" applyBorder="1" applyAlignment="1">
      <alignment horizontal="center"/>
    </xf>
    <xf numFmtId="3" fontId="3" fillId="3" borderId="11" xfId="0" applyNumberFormat="1" applyFont="1" applyFill="1" applyBorder="1" applyAlignment="1">
      <alignment horizontal="right"/>
    </xf>
    <xf numFmtId="0" fontId="3" fillId="3" borderId="41" xfId="0" applyFont="1" applyFill="1" applyBorder="1"/>
    <xf numFmtId="0" fontId="3" fillId="3" borderId="42" xfId="0" applyFont="1" applyFill="1" applyBorder="1"/>
    <xf numFmtId="3" fontId="3" fillId="3" borderId="43" xfId="0" applyNumberFormat="1" applyFont="1" applyFill="1" applyBorder="1" applyAlignment="1">
      <alignment horizontal="center"/>
    </xf>
    <xf numFmtId="3" fontId="3" fillId="3" borderId="39" xfId="0" applyNumberFormat="1" applyFont="1" applyFill="1" applyBorder="1" applyAlignment="1">
      <alignment horizontal="right"/>
    </xf>
    <xf numFmtId="3" fontId="5" fillId="0" borderId="18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/>
    </xf>
    <xf numFmtId="3" fontId="18" fillId="0" borderId="0" xfId="0" applyNumberFormat="1" applyFont="1"/>
    <xf numFmtId="0" fontId="3" fillId="0" borderId="7" xfId="0" applyFont="1" applyBorder="1"/>
    <xf numFmtId="0" fontId="11" fillId="0" borderId="0" xfId="0" applyFont="1"/>
    <xf numFmtId="0" fontId="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9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 vertical="center"/>
    </xf>
    <xf numFmtId="3" fontId="14" fillId="0" borderId="8" xfId="0" applyNumberFormat="1" applyFont="1" applyBorder="1"/>
    <xf numFmtId="3" fontId="11" fillId="0" borderId="3" xfId="0" applyNumberFormat="1" applyFont="1" applyBorder="1"/>
    <xf numFmtId="3" fontId="11" fillId="0" borderId="4" xfId="0" applyNumberFormat="1" applyFont="1" applyBorder="1"/>
    <xf numFmtId="3" fontId="11" fillId="0" borderId="10" xfId="0" applyNumberFormat="1" applyFont="1" applyBorder="1"/>
    <xf numFmtId="3" fontId="11" fillId="0" borderId="7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left"/>
    </xf>
    <xf numFmtId="3" fontId="11" fillId="0" borderId="1" xfId="0" applyNumberFormat="1" applyFont="1" applyBorder="1"/>
    <xf numFmtId="3" fontId="14" fillId="0" borderId="1" xfId="0" applyNumberFormat="1" applyFont="1" applyBorder="1" applyAlignment="1">
      <alignment horizontal="right"/>
    </xf>
    <xf numFmtId="166" fontId="14" fillId="0" borderId="5" xfId="3" applyNumberFormat="1" applyFont="1" applyFill="1" applyBorder="1"/>
    <xf numFmtId="9" fontId="4" fillId="0" borderId="13" xfId="0" applyNumberFormat="1" applyFont="1" applyBorder="1" applyAlignment="1">
      <alignment horizontal="right"/>
    </xf>
    <xf numFmtId="0" fontId="12" fillId="0" borderId="0" xfId="0" applyFont="1"/>
    <xf numFmtId="0" fontId="20" fillId="0" borderId="0" xfId="13"/>
    <xf numFmtId="0" fontId="13" fillId="0" borderId="14" xfId="0" applyFont="1" applyBorder="1" applyAlignment="1">
      <alignment horizontal="center" vertical="top" wrapText="1"/>
    </xf>
    <xf numFmtId="0" fontId="13" fillId="0" borderId="36" xfId="0" applyFont="1" applyBorder="1" applyAlignment="1">
      <alignment horizontal="center" vertical="top" wrapText="1"/>
    </xf>
    <xf numFmtId="0" fontId="13" fillId="0" borderId="37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45" xfId="0" applyFont="1" applyBorder="1"/>
    <xf numFmtId="1" fontId="3" fillId="0" borderId="0" xfId="0" applyNumberFormat="1" applyFont="1"/>
    <xf numFmtId="3" fontId="5" fillId="0" borderId="0" xfId="0" applyNumberFormat="1" applyFont="1"/>
    <xf numFmtId="4" fontId="3" fillId="0" borderId="0" xfId="0" applyNumberFormat="1" applyFont="1" applyAlignment="1">
      <alignment horizontal="center"/>
    </xf>
    <xf numFmtId="4" fontId="8" fillId="2" borderId="26" xfId="0" applyNumberFormat="1" applyFont="1" applyFill="1" applyBorder="1" applyAlignment="1">
      <alignment horizontal="center"/>
    </xf>
    <xf numFmtId="4" fontId="10" fillId="0" borderId="0" xfId="0" applyNumberFormat="1" applyFont="1" applyAlignment="1">
      <alignment horizontal="right"/>
    </xf>
    <xf numFmtId="3" fontId="3" fillId="0" borderId="26" xfId="0" applyNumberFormat="1" applyFont="1" applyBorder="1" applyAlignment="1">
      <alignment horizontal="right"/>
    </xf>
    <xf numFmtId="3" fontId="3" fillId="0" borderId="27" xfId="0" applyNumberFormat="1" applyFont="1" applyBorder="1" applyAlignment="1">
      <alignment horizontal="right"/>
    </xf>
    <xf numFmtId="3" fontId="3" fillId="0" borderId="28" xfId="0" applyNumberFormat="1" applyFont="1" applyBorder="1" applyAlignment="1">
      <alignment horizontal="right"/>
    </xf>
    <xf numFmtId="3" fontId="3" fillId="0" borderId="38" xfId="0" applyNumberFormat="1" applyFont="1" applyBorder="1" applyAlignment="1">
      <alignment horizontal="right"/>
    </xf>
    <xf numFmtId="3" fontId="3" fillId="0" borderId="29" xfId="0" applyNumberFormat="1" applyFont="1" applyBorder="1" applyAlignment="1">
      <alignment horizontal="right"/>
    </xf>
    <xf numFmtId="3" fontId="3" fillId="3" borderId="27" xfId="0" applyNumberFormat="1" applyFont="1" applyFill="1" applyBorder="1" applyAlignment="1">
      <alignment horizontal="right"/>
    </xf>
    <xf numFmtId="3" fontId="3" fillId="3" borderId="44" xfId="0" applyNumberFormat="1" applyFont="1" applyFill="1" applyBorder="1" applyAlignment="1">
      <alignment horizontal="right"/>
    </xf>
    <xf numFmtId="3" fontId="3" fillId="0" borderId="40" xfId="0" applyNumberFormat="1" applyFont="1" applyBorder="1" applyAlignment="1">
      <alignment horizontal="center"/>
    </xf>
    <xf numFmtId="3" fontId="5" fillId="0" borderId="31" xfId="0" applyNumberFormat="1" applyFont="1" applyBorder="1" applyAlignment="1">
      <alignment horizontal="right"/>
    </xf>
    <xf numFmtId="3" fontId="5" fillId="0" borderId="30" xfId="0" applyNumberFormat="1" applyFont="1" applyBorder="1" applyAlignment="1">
      <alignment horizontal="right"/>
    </xf>
    <xf numFmtId="3" fontId="10" fillId="0" borderId="18" xfId="0" applyNumberFormat="1" applyFont="1" applyBorder="1" applyAlignment="1">
      <alignment horizontal="right" vertical="center"/>
    </xf>
    <xf numFmtId="3" fontId="5" fillId="0" borderId="0" xfId="0" applyNumberFormat="1" applyFont="1" applyAlignment="1">
      <alignment horizontal="left"/>
    </xf>
    <xf numFmtId="0" fontId="0" fillId="0" borderId="1" xfId="0" applyBorder="1"/>
    <xf numFmtId="14" fontId="8" fillId="0" borderId="4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right"/>
    </xf>
    <xf numFmtId="0" fontId="3" fillId="3" borderId="20" xfId="0" applyFont="1" applyFill="1" applyBorder="1" applyAlignment="1">
      <alignment horizontal="left"/>
    </xf>
    <xf numFmtId="0" fontId="3" fillId="3" borderId="42" xfId="0" applyFont="1" applyFill="1" applyBorder="1" applyAlignment="1">
      <alignment horizontal="left"/>
    </xf>
    <xf numFmtId="4" fontId="9" fillId="2" borderId="28" xfId="0" applyNumberFormat="1" applyFont="1" applyFill="1" applyBorder="1" applyAlignment="1">
      <alignment horizontal="center" wrapText="1"/>
    </xf>
    <xf numFmtId="4" fontId="9" fillId="2" borderId="33" xfId="0" applyNumberFormat="1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0" xfId="0" applyNumberFormat="1" applyFont="1" applyBorder="1"/>
    <xf numFmtId="3" fontId="14" fillId="0" borderId="0" xfId="0" applyNumberFormat="1" applyFont="1" applyBorder="1"/>
    <xf numFmtId="3" fontId="11" fillId="0" borderId="0" xfId="0" applyNumberFormat="1" applyFont="1" applyBorder="1"/>
    <xf numFmtId="3" fontId="11" fillId="0" borderId="0" xfId="0" applyNumberFormat="1" applyFont="1" applyBorder="1" applyAlignment="1">
      <alignment horizontal="center"/>
    </xf>
    <xf numFmtId="3" fontId="11" fillId="0" borderId="0" xfId="0" applyNumberFormat="1" applyFont="1" applyBorder="1" applyAlignment="1">
      <alignment horizontal="right"/>
    </xf>
    <xf numFmtId="3" fontId="11" fillId="0" borderId="0" xfId="0" applyNumberFormat="1" applyFont="1" applyBorder="1" applyAlignment="1">
      <alignment horizontal="left"/>
    </xf>
    <xf numFmtId="3" fontId="13" fillId="0" borderId="0" xfId="0" applyNumberFormat="1" applyFont="1" applyBorder="1"/>
    <xf numFmtId="3" fontId="14" fillId="0" borderId="0" xfId="0" applyNumberFormat="1" applyFont="1" applyBorder="1" applyAlignment="1">
      <alignment horizontal="right"/>
    </xf>
    <xf numFmtId="166" fontId="14" fillId="0" borderId="0" xfId="3" applyNumberFormat="1" applyFont="1" applyFill="1" applyBorder="1"/>
    <xf numFmtId="3" fontId="19" fillId="0" borderId="0" xfId="0" applyNumberFormat="1" applyFont="1" applyBorder="1"/>
    <xf numFmtId="164" fontId="11" fillId="0" borderId="0" xfId="0" applyNumberFormat="1" applyFont="1" applyBorder="1" applyAlignment="1">
      <alignment horizontal="center"/>
    </xf>
  </cellXfs>
  <cellStyles count="14">
    <cellStyle name="Currency" xfId="3" builtinId="4"/>
    <cellStyle name="Currency 2" xfId="5" xr:uid="{00000000-0005-0000-0000-000001000000}"/>
    <cellStyle name="Currency 2 2" xfId="8" xr:uid="{00000000-0005-0000-0000-000002000000}"/>
    <cellStyle name="Currency 3" xfId="12" xr:uid="{00000000-0005-0000-0000-000003000000}"/>
    <cellStyle name="Hyperlink" xfId="13" builtinId="8"/>
    <cellStyle name="Normal" xfId="0" builtinId="0"/>
    <cellStyle name="Normal 2" xfId="1" xr:uid="{00000000-0005-0000-0000-000006000000}"/>
    <cellStyle name="Normal 3" xfId="4" xr:uid="{00000000-0005-0000-0000-000007000000}"/>
    <cellStyle name="Normal 3 2" xfId="7" xr:uid="{00000000-0005-0000-0000-000008000000}"/>
    <cellStyle name="Normal 4" xfId="10" xr:uid="{00000000-0005-0000-0000-000009000000}"/>
    <cellStyle name="Percent" xfId="2" builtinId="5"/>
    <cellStyle name="Percent 2" xfId="6" xr:uid="{00000000-0005-0000-0000-00000B000000}"/>
    <cellStyle name="Percent 2 2" xfId="9" xr:uid="{00000000-0005-0000-0000-00000C000000}"/>
    <cellStyle name="Percent 3" xfId="11" xr:uid="{00000000-0005-0000-0000-00000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FDFE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4.png"/><Relationship Id="rId5" Type="http://schemas.openxmlformats.org/officeDocument/2006/relationships/customXml" Target="../ink/ink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102661</xdr:colOff>
      <xdr:row>28</xdr:row>
      <xdr:rowOff>0</xdr:rowOff>
    </xdr:from>
    <xdr:to>
      <xdr:col>28</xdr:col>
      <xdr:colOff>167228</xdr:colOff>
      <xdr:row>28</xdr:row>
      <xdr:rowOff>11880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5338370-E440-EB4D-16A4-B01162193A3D}"/>
                </a:ext>
              </a:extLst>
            </xdr14:cNvPr>
            <xdr14:cNvContentPartPr/>
          </xdr14:nvContentPartPr>
          <xdr14:nvPr macro=""/>
          <xdr14:xfrm>
            <a:off x="29043720" y="4631760"/>
            <a:ext cx="736920" cy="11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5338370-E440-EB4D-16A4-B01162193A3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8989720" y="4523760"/>
              <a:ext cx="84456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628494</xdr:colOff>
      <xdr:row>50</xdr:row>
      <xdr:rowOff>140744</xdr:rowOff>
    </xdr:from>
    <xdr:to>
      <xdr:col>27</xdr:col>
      <xdr:colOff>532141</xdr:colOff>
      <xdr:row>50</xdr:row>
      <xdr:rowOff>155864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9C46223-9585-86E2-9A95-A5D21128CA11}"/>
                </a:ext>
              </a:extLst>
            </xdr14:cNvPr>
            <xdr14:cNvContentPartPr/>
          </xdr14:nvContentPartPr>
          <xdr14:nvPr macro=""/>
          <xdr14:xfrm>
            <a:off x="28897200" y="9493920"/>
            <a:ext cx="576000" cy="151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9C46223-9585-86E2-9A95-A5D21128CA1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8843200" y="9385920"/>
              <a:ext cx="68364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74083</xdr:colOff>
      <xdr:row>32</xdr:row>
      <xdr:rowOff>42334</xdr:rowOff>
    </xdr:from>
    <xdr:to>
      <xdr:col>21</xdr:col>
      <xdr:colOff>531283</xdr:colOff>
      <xdr:row>43</xdr:row>
      <xdr:rowOff>40217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35BC5-0652-1240-8AD9-A6709610A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99833" y="5894917"/>
          <a:ext cx="6997700" cy="220980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15T18:33:25.81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0,'46'0,"-8"0,-16 0,-10 0,21 0,-16 0,18 0,-7 0,23 0,6 0,26 0,1 5,2 0,-32-4,-2 1,12 3,-1 0,36-5,0 0,-28 0,7 0,-38 0,2 0,-7 0,-7 0,1 0,-6 0,-10 0,5 0,-6 0,10 0,-7 0,0 0,3 0,9 0,3 0,3 0,-11 0,4 0,-13 0,8 0,-7 0,1 0,8 0,-7 0,6 4,-7-3,0 3,3-4,-3 0,0 0,3 0,1 0,-3 0,2 0,-4 0,1 0,8 0,-7 0,2 0,0 0,-6 0,10 0,-7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15T18:33:32.84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32,'47'5,"-8"-1,-29-4,4 0,9 0,-6 0,5 0,-8 0,1 0,8 0,-2 0,2 0,-8 0,10 0,-12 0,8 0,-7 0,5 0,2 0,2 0,-4 0,0 0,0 0,1 0,-6 0,4 0,5 0,-6 0,4 0,1 0,-10 0,22 0,-22 0,10 0,-4 0,-7 0,12 0,-8 0,-1 0,16 0,-12 0,9 0,7 0,-15 0,12 0,-17 0,-5 0,14 0,-10 0,21 0,-22 0,22 0,-10 0,12 0,-7 0,5 0,-12 0,12 0,-17 0,4 0,1-5,-10 3,10-3,-9 5,2 0,12 0,-10 0,4 0,-3 0,-6 0,10 0,-7 0,0 0,7-9,-10 7,10-11,-11 12,3-3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ML55"/>
  <sheetViews>
    <sheetView showGridLines="0" tabSelected="1" topLeftCell="A6" zoomScale="120" zoomScaleNormal="120" workbookViewId="0">
      <selection activeCell="H37" sqref="A7:H37"/>
    </sheetView>
  </sheetViews>
  <sheetFormatPr baseColWidth="10" defaultColWidth="8.83203125" defaultRowHeight="16" x14ac:dyDescent="0.2"/>
  <cols>
    <col min="1" max="1" width="4.5" style="1" customWidth="1"/>
    <col min="2" max="2" width="17" style="1" customWidth="1"/>
    <col min="3" max="3" width="19.5" style="1" customWidth="1"/>
    <col min="4" max="4" width="9.83203125" style="1" customWidth="1"/>
    <col min="5" max="5" width="7.33203125" style="1" customWidth="1"/>
    <col min="6" max="6" width="11.1640625" style="2" customWidth="1"/>
    <col min="7" max="7" width="21.6640625" style="2" customWidth="1"/>
    <col min="8" max="8" width="15.83203125" style="117" customWidth="1"/>
    <col min="9" max="9" width="7.33203125" style="3" customWidth="1"/>
    <col min="10" max="10" width="36" style="3" customWidth="1"/>
    <col min="11" max="11" width="0.5" style="3" hidden="1" customWidth="1"/>
    <col min="12" max="12" width="25.33203125" style="3" customWidth="1"/>
    <col min="13" max="13" width="15.33203125" style="3" customWidth="1"/>
    <col min="14" max="14" width="13.1640625" style="3" customWidth="1"/>
    <col min="15" max="15" width="12.6640625" style="3" customWidth="1"/>
    <col min="17" max="17" width="19.6640625" style="1" customWidth="1"/>
    <col min="18" max="18" width="13.33203125" style="1" bestFit="1" customWidth="1"/>
    <col min="19" max="20" width="8.83203125" style="1"/>
    <col min="21" max="21" width="13.5" style="1" bestFit="1" customWidth="1"/>
    <col min="22" max="1019" width="8.83203125" style="1"/>
  </cols>
  <sheetData>
    <row r="2" spans="1:17" x14ac:dyDescent="0.2">
      <c r="A2" s="1" t="s">
        <v>10</v>
      </c>
      <c r="B2" s="23"/>
      <c r="C2" s="52" t="s">
        <v>46</v>
      </c>
      <c r="D2" s="23"/>
      <c r="E2" s="23"/>
      <c r="F2" s="23"/>
      <c r="G2" s="23"/>
      <c r="J2" s="6"/>
    </row>
    <row r="3" spans="1:17" x14ac:dyDescent="0.2">
      <c r="A3" s="1" t="s">
        <v>22</v>
      </c>
      <c r="B3" s="23"/>
      <c r="C3" s="1" t="s">
        <v>41</v>
      </c>
      <c r="D3" s="23"/>
      <c r="E3" s="23"/>
      <c r="F3" s="23"/>
      <c r="G3" s="23"/>
      <c r="J3" s="6"/>
    </row>
    <row r="4" spans="1:17" x14ac:dyDescent="0.2">
      <c r="A4" s="1" t="s">
        <v>6</v>
      </c>
      <c r="C4" s="1" t="s">
        <v>47</v>
      </c>
    </row>
    <row r="5" spans="1:17" x14ac:dyDescent="0.2">
      <c r="A5" s="1" t="s">
        <v>30</v>
      </c>
      <c r="C5" s="63">
        <v>46204</v>
      </c>
      <c r="J5" s="4"/>
      <c r="K5" s="4"/>
      <c r="L5" s="4"/>
    </row>
    <row r="6" spans="1:17" ht="23.25" customHeight="1" x14ac:dyDescent="0.2">
      <c r="G6" s="134"/>
    </row>
    <row r="7" spans="1:17" ht="15.75" customHeight="1" x14ac:dyDescent="0.2">
      <c r="A7" s="140" t="s">
        <v>11</v>
      </c>
      <c r="B7" s="141"/>
      <c r="C7" s="141"/>
      <c r="D7" s="141"/>
      <c r="E7" s="141"/>
      <c r="F7" s="142"/>
      <c r="G7" s="61" t="s">
        <v>13</v>
      </c>
      <c r="H7" s="118" t="s">
        <v>0</v>
      </c>
    </row>
    <row r="8" spans="1:17" ht="18.75" customHeight="1" x14ac:dyDescent="0.2">
      <c r="A8" s="143"/>
      <c r="B8" s="144"/>
      <c r="C8" s="144"/>
      <c r="D8" s="144"/>
      <c r="E8" s="144"/>
      <c r="F8" s="145"/>
      <c r="G8" s="62">
        <f>DATE(YEAR(C5),MONTH(C5),DAY(C5))</f>
        <v>46204</v>
      </c>
      <c r="H8" s="138" t="s">
        <v>45</v>
      </c>
    </row>
    <row r="9" spans="1:17" ht="18" customHeight="1" x14ac:dyDescent="0.2">
      <c r="A9" s="55"/>
      <c r="B9" s="56"/>
      <c r="C9" s="56"/>
      <c r="D9" s="56"/>
      <c r="E9" s="56"/>
      <c r="F9" s="57"/>
      <c r="G9" s="60">
        <v>46477</v>
      </c>
      <c r="H9" s="139"/>
      <c r="J9" s="41" t="s">
        <v>14</v>
      </c>
      <c r="K9" s="29"/>
      <c r="L9" s="43" t="s">
        <v>40</v>
      </c>
      <c r="M9" s="43">
        <v>46204</v>
      </c>
      <c r="N9" s="43">
        <v>46569</v>
      </c>
      <c r="O9" s="43">
        <v>46935</v>
      </c>
      <c r="P9" s="43">
        <v>47300</v>
      </c>
      <c r="Q9" s="30" t="s">
        <v>16</v>
      </c>
    </row>
    <row r="10" spans="1:17" x14ac:dyDescent="0.2">
      <c r="A10" s="14" t="s">
        <v>1</v>
      </c>
      <c r="B10" s="7"/>
      <c r="C10" s="7"/>
      <c r="D10" s="7"/>
      <c r="E10" s="7"/>
      <c r="F10" s="8"/>
      <c r="G10" s="5"/>
      <c r="H10" s="120"/>
      <c r="J10" s="39"/>
      <c r="L10" s="2"/>
      <c r="M10" s="2"/>
      <c r="N10" s="2"/>
      <c r="O10" s="2"/>
      <c r="Q10" s="31"/>
    </row>
    <row r="11" spans="1:17" x14ac:dyDescent="0.2">
      <c r="A11" s="10" t="s">
        <v>37</v>
      </c>
      <c r="B11" s="107">
        <v>0</v>
      </c>
      <c r="C11" s="65" t="str">
        <f>J11</f>
        <v>Ricardo Vinuesa</v>
      </c>
      <c r="D11" s="11" t="s">
        <v>27</v>
      </c>
      <c r="E11" s="11"/>
      <c r="F11" s="12"/>
      <c r="G11" s="13">
        <f>((M11*8/9)+(L11/9))*$B$11</f>
        <v>0</v>
      </c>
      <c r="H11" s="121">
        <f>SUM(G11:G11)</f>
        <v>0</v>
      </c>
      <c r="J11" s="39" t="str">
        <f>C3</f>
        <v>Ricardo Vinuesa</v>
      </c>
      <c r="L11" s="2">
        <v>150000</v>
      </c>
      <c r="M11" s="2">
        <f>L11*$Q$11</f>
        <v>154500</v>
      </c>
      <c r="N11" s="2">
        <f>M11*$Q$11</f>
        <v>159135</v>
      </c>
      <c r="O11" s="2">
        <f>N11*$Q$11</f>
        <v>163909.05000000002</v>
      </c>
      <c r="P11" s="2">
        <f>O11*$Q$11</f>
        <v>168826.32150000002</v>
      </c>
      <c r="Q11" s="31">
        <v>1.03</v>
      </c>
    </row>
    <row r="12" spans="1:17" x14ac:dyDescent="0.2">
      <c r="A12" s="9"/>
      <c r="B12" s="50">
        <v>1</v>
      </c>
      <c r="C12" s="23" t="s">
        <v>48</v>
      </c>
      <c r="F12" s="66"/>
      <c r="G12" s="28">
        <f>(L11/9*$B$12*1)</f>
        <v>16666.666666666668</v>
      </c>
      <c r="H12" s="122">
        <f>SUM(G12:G12)</f>
        <v>16666.666666666668</v>
      </c>
      <c r="J12" s="39"/>
      <c r="L12" s="2"/>
      <c r="M12" s="2"/>
      <c r="N12" s="2"/>
      <c r="O12" s="2"/>
      <c r="Q12" s="31"/>
    </row>
    <row r="13" spans="1:17" ht="19" x14ac:dyDescent="0.2">
      <c r="A13" s="9"/>
      <c r="B13" s="67"/>
      <c r="C13" s="1" t="s">
        <v>9</v>
      </c>
      <c r="D13" s="44">
        <v>0.30037999999999998</v>
      </c>
      <c r="E13" s="44"/>
      <c r="F13" s="66"/>
      <c r="G13" s="28">
        <f>(G11+G12)*$D$13</f>
        <v>5006.333333333333</v>
      </c>
      <c r="H13" s="123">
        <f>SUM(G13:G13)</f>
        <v>5006.333333333333</v>
      </c>
      <c r="J13" s="35"/>
      <c r="L13" s="58" t="s">
        <v>40</v>
      </c>
      <c r="M13" s="58">
        <v>46266</v>
      </c>
      <c r="N13" s="58">
        <v>46631</v>
      </c>
      <c r="O13" s="58">
        <v>46997</v>
      </c>
      <c r="P13" s="58">
        <v>47362</v>
      </c>
      <c r="Q13" s="59" t="s">
        <v>16</v>
      </c>
    </row>
    <row r="14" spans="1:17" hidden="1" x14ac:dyDescent="0.2">
      <c r="A14" s="146" t="s">
        <v>32</v>
      </c>
      <c r="B14" s="147"/>
      <c r="C14" s="65" t="s">
        <v>26</v>
      </c>
      <c r="D14" s="11"/>
      <c r="E14" s="11"/>
      <c r="F14" s="12"/>
      <c r="G14" s="13">
        <v>0</v>
      </c>
      <c r="H14" s="122">
        <f>SUM(G14:G14)</f>
        <v>0</v>
      </c>
      <c r="J14" s="35"/>
      <c r="Q14" s="91"/>
    </row>
    <row r="15" spans="1:17" hidden="1" x14ac:dyDescent="0.2">
      <c r="A15" s="9"/>
      <c r="B15" s="64"/>
      <c r="C15" s="23"/>
      <c r="D15" s="148"/>
      <c r="E15" s="148"/>
      <c r="F15" s="149"/>
      <c r="G15" s="28"/>
      <c r="H15" s="122"/>
      <c r="J15" s="39" t="s">
        <v>33</v>
      </c>
      <c r="L15" s="51" t="s">
        <v>34</v>
      </c>
      <c r="M15" s="51" t="s">
        <v>34</v>
      </c>
      <c r="N15" s="51" t="s">
        <v>34</v>
      </c>
      <c r="O15" s="51" t="s">
        <v>34</v>
      </c>
      <c r="Q15" s="31" t="s">
        <v>35</v>
      </c>
    </row>
    <row r="16" spans="1:17" hidden="1" x14ac:dyDescent="0.2">
      <c r="A16" s="68"/>
      <c r="B16" s="69"/>
      <c r="C16" s="70" t="s">
        <v>36</v>
      </c>
      <c r="D16" s="79">
        <v>7.6499999999999999E-2</v>
      </c>
      <c r="E16" s="45"/>
      <c r="F16" s="71"/>
      <c r="G16" s="72">
        <f>G14*$D$16</f>
        <v>0</v>
      </c>
      <c r="H16" s="123">
        <f>SUM(G16:G16)</f>
        <v>0</v>
      </c>
      <c r="J16" s="35"/>
      <c r="Q16" s="91"/>
    </row>
    <row r="17" spans="1:22" x14ac:dyDescent="0.2">
      <c r="A17" s="10" t="s">
        <v>54</v>
      </c>
      <c r="B17" s="11"/>
      <c r="C17" s="65"/>
      <c r="D17" s="11"/>
      <c r="E17" s="11"/>
      <c r="F17" s="12"/>
      <c r="G17" s="13">
        <f>((M17*7))*B18</f>
        <v>26309.29</v>
      </c>
      <c r="H17" s="122">
        <f>SUM(G17:G17)</f>
        <v>26309.29</v>
      </c>
      <c r="J17" s="39" t="s">
        <v>28</v>
      </c>
      <c r="L17" s="2">
        <v>7298</v>
      </c>
      <c r="M17" s="2">
        <f>(L17*$Q$17)</f>
        <v>7516.9400000000005</v>
      </c>
      <c r="N17" s="2">
        <f>(M17*$Q$17)</f>
        <v>7742.4482000000007</v>
      </c>
      <c r="O17" s="2">
        <f>(N17*$Q$17)</f>
        <v>7974.7216460000009</v>
      </c>
      <c r="P17" s="2">
        <f>(O17*$Q$17)</f>
        <v>8213.963295380001</v>
      </c>
      <c r="Q17" s="31">
        <v>1.03</v>
      </c>
    </row>
    <row r="18" spans="1:22" x14ac:dyDescent="0.2">
      <c r="A18" s="9"/>
      <c r="B18" s="50">
        <v>0.5</v>
      </c>
      <c r="C18" s="23" t="s">
        <v>23</v>
      </c>
      <c r="F18" s="66"/>
      <c r="G18" s="28"/>
      <c r="H18" s="122"/>
      <c r="J18" s="34"/>
      <c r="K18" s="32"/>
      <c r="L18" s="32"/>
      <c r="M18" s="32"/>
      <c r="N18" s="32"/>
      <c r="O18" s="32"/>
      <c r="P18" s="132"/>
      <c r="Q18" s="33"/>
      <c r="V18" s="109"/>
    </row>
    <row r="19" spans="1:22" x14ac:dyDescent="0.2">
      <c r="A19" s="68"/>
      <c r="B19" s="69"/>
      <c r="C19" s="70" t="s">
        <v>9</v>
      </c>
      <c r="D19" s="45">
        <v>0.2</v>
      </c>
      <c r="E19" s="45"/>
      <c r="F19" s="71"/>
      <c r="G19" s="72">
        <f>G17*$D$19</f>
        <v>5261.8580000000002</v>
      </c>
      <c r="H19" s="122">
        <f>SUM(G19:G19)</f>
        <v>5261.8580000000002</v>
      </c>
    </row>
    <row r="20" spans="1:22" x14ac:dyDescent="0.2">
      <c r="A20" s="10"/>
      <c r="B20" s="11"/>
      <c r="C20" s="65"/>
      <c r="D20" s="11"/>
      <c r="E20" s="11"/>
      <c r="F20" s="12"/>
      <c r="G20" s="13"/>
      <c r="H20" s="122"/>
      <c r="J20" s="131"/>
      <c r="L20" s="2"/>
      <c r="M20" s="2"/>
      <c r="N20" s="2"/>
      <c r="O20" s="2"/>
      <c r="Q20" s="21"/>
    </row>
    <row r="21" spans="1:22" x14ac:dyDescent="0.2">
      <c r="A21" s="9"/>
      <c r="B21" s="50"/>
      <c r="C21" s="23"/>
      <c r="F21" s="66"/>
      <c r="G21" s="28"/>
      <c r="H21" s="122"/>
      <c r="Q21" s="21"/>
      <c r="V21" s="109"/>
    </row>
    <row r="22" spans="1:22" x14ac:dyDescent="0.2">
      <c r="A22" s="68"/>
      <c r="B22" s="69"/>
      <c r="C22" s="70"/>
      <c r="D22" s="45"/>
      <c r="E22" s="45"/>
      <c r="F22" s="71"/>
      <c r="G22" s="72"/>
      <c r="H22" s="122"/>
    </row>
    <row r="23" spans="1:22" x14ac:dyDescent="0.2">
      <c r="A23" s="73" t="s">
        <v>7</v>
      </c>
      <c r="B23" s="7"/>
      <c r="C23" s="7"/>
      <c r="D23" s="114"/>
      <c r="E23" s="7"/>
      <c r="F23" s="8"/>
      <c r="G23" s="5">
        <f>SUM(G11:G12,G17:G18,G20:G21)</f>
        <v>42975.956666666665</v>
      </c>
      <c r="H23" s="120">
        <f>SUM(G23:G23)</f>
        <v>42975.956666666665</v>
      </c>
      <c r="J23" s="90"/>
    </row>
    <row r="24" spans="1:22" x14ac:dyDescent="0.2">
      <c r="A24" s="74" t="s">
        <v>8</v>
      </c>
      <c r="B24" s="75"/>
      <c r="C24" s="75"/>
      <c r="D24" s="113"/>
      <c r="E24" s="75"/>
      <c r="F24" s="76"/>
      <c r="G24" s="77">
        <f xml:space="preserve"> SUM(G13,G19,G22)</f>
        <v>10268.191333333332</v>
      </c>
      <c r="H24" s="124">
        <f>SUM(G24:G24)</f>
        <v>10268.191333333332</v>
      </c>
      <c r="J24" s="54" t="s">
        <v>29</v>
      </c>
    </row>
    <row r="25" spans="1:22" x14ac:dyDescent="0.2">
      <c r="A25" s="9"/>
      <c r="F25" s="66"/>
      <c r="G25" s="28"/>
      <c r="H25" s="122"/>
      <c r="Q25" s="21"/>
    </row>
    <row r="26" spans="1:22" x14ac:dyDescent="0.2">
      <c r="A26" s="17" t="s">
        <v>2</v>
      </c>
      <c r="B26" s="11"/>
      <c r="C26" s="11"/>
      <c r="D26" s="11"/>
      <c r="E26" s="11"/>
      <c r="F26" s="12"/>
      <c r="G26" s="13"/>
      <c r="H26" s="121"/>
      <c r="Q26" s="21"/>
    </row>
    <row r="27" spans="1:22" hidden="1" x14ac:dyDescent="0.2">
      <c r="A27" s="10"/>
      <c r="B27" s="11" t="s">
        <v>42</v>
      </c>
      <c r="C27" s="11"/>
      <c r="D27" s="11"/>
      <c r="E27" s="11"/>
      <c r="F27" s="12"/>
      <c r="G27" s="13">
        <v>0</v>
      </c>
      <c r="H27" s="121">
        <f>SUM(G27:G27)</f>
        <v>0</v>
      </c>
      <c r="Q27" s="21"/>
    </row>
    <row r="28" spans="1:22" x14ac:dyDescent="0.2">
      <c r="A28" s="10"/>
      <c r="B28" s="78" t="s">
        <v>49</v>
      </c>
      <c r="C28" s="11"/>
      <c r="D28" s="11"/>
      <c r="E28" s="11"/>
      <c r="F28" s="12"/>
      <c r="G28" s="13">
        <v>3500</v>
      </c>
      <c r="H28" s="121">
        <f>SUM(G28:G28)</f>
        <v>3500</v>
      </c>
      <c r="J28" s="2"/>
      <c r="Q28" s="21"/>
    </row>
    <row r="29" spans="1:22" ht="16" customHeight="1" x14ac:dyDescent="0.2">
      <c r="A29" s="10"/>
      <c r="B29" s="11" t="s">
        <v>51</v>
      </c>
      <c r="C29" s="11"/>
      <c r="D29" s="11"/>
      <c r="E29" s="11"/>
      <c r="F29" s="110"/>
      <c r="G29" s="13">
        <f>N43*2</f>
        <v>2400</v>
      </c>
      <c r="H29" s="121">
        <f>G29</f>
        <v>2400</v>
      </c>
    </row>
    <row r="30" spans="1:22" ht="18" x14ac:dyDescent="0.2">
      <c r="A30" s="10"/>
      <c r="B30" s="111"/>
      <c r="C30" s="111"/>
      <c r="D30" s="111"/>
      <c r="E30" s="111"/>
      <c r="F30" s="112"/>
      <c r="G30" s="13"/>
      <c r="H30" s="121"/>
      <c r="J30" s="47" t="s">
        <v>15</v>
      </c>
      <c r="K30" s="48"/>
      <c r="L30" s="43" t="s">
        <v>40</v>
      </c>
      <c r="M30" s="43">
        <v>46266</v>
      </c>
      <c r="N30" s="43">
        <v>46631</v>
      </c>
      <c r="O30" s="43">
        <v>46997</v>
      </c>
      <c r="P30" s="43">
        <v>47362</v>
      </c>
      <c r="Q30" s="133" t="s">
        <v>16</v>
      </c>
    </row>
    <row r="31" spans="1:22" x14ac:dyDescent="0.2">
      <c r="A31" s="80"/>
      <c r="B31" s="136" t="s">
        <v>43</v>
      </c>
      <c r="C31" s="136"/>
      <c r="D31" s="81"/>
      <c r="E31" s="81"/>
      <c r="F31" s="82"/>
      <c r="G31" s="83">
        <f>M32+(M32*3/4)</f>
        <v>17735.550000000003</v>
      </c>
      <c r="H31" s="125">
        <f>SUM(G31:G31)</f>
        <v>17735.550000000003</v>
      </c>
      <c r="J31" s="42" t="s">
        <v>24</v>
      </c>
      <c r="L31" s="2">
        <v>15490</v>
      </c>
      <c r="M31" s="2">
        <f>L31*$Q$31</f>
        <v>16264.5</v>
      </c>
      <c r="N31" s="2">
        <f>M31*$Q$31</f>
        <v>17077.725000000002</v>
      </c>
      <c r="O31" s="2">
        <f>N31*$Q$31</f>
        <v>17931.611250000002</v>
      </c>
      <c r="P31" s="2">
        <f>O31*$Q$31</f>
        <v>18828.191812500001</v>
      </c>
      <c r="Q31" s="31">
        <v>1.05</v>
      </c>
    </row>
    <row r="32" spans="1:22" x14ac:dyDescent="0.2">
      <c r="A32" s="84"/>
      <c r="B32" s="137" t="s">
        <v>44</v>
      </c>
      <c r="C32" s="137"/>
      <c r="D32" s="85"/>
      <c r="E32" s="85"/>
      <c r="F32" s="86"/>
      <c r="G32" s="87">
        <f>M32*0</f>
        <v>0</v>
      </c>
      <c r="H32" s="126">
        <f>SUM(G32:G32)</f>
        <v>0</v>
      </c>
      <c r="J32" s="34" t="s">
        <v>25</v>
      </c>
      <c r="K32" s="32"/>
      <c r="L32" s="40">
        <v>9652</v>
      </c>
      <c r="M32" s="40">
        <f>L32*$Q$32</f>
        <v>10134.6</v>
      </c>
      <c r="N32" s="40">
        <f>M32*$Q$32</f>
        <v>10641.33</v>
      </c>
      <c r="O32" s="40">
        <f>N32*$Q$32</f>
        <v>11173.396500000001</v>
      </c>
      <c r="P32" s="40">
        <f>O32*$Q$32</f>
        <v>11732.066325000002</v>
      </c>
      <c r="Q32" s="33">
        <v>1.05</v>
      </c>
    </row>
    <row r="33" spans="1:1026" x14ac:dyDescent="0.2">
      <c r="A33" s="38"/>
      <c r="G33" s="40"/>
      <c r="H33" s="127"/>
      <c r="L33" s="49"/>
      <c r="M33" s="46"/>
      <c r="N33" s="46"/>
      <c r="O33" s="46"/>
    </row>
    <row r="34" spans="1:1026" x14ac:dyDescent="0.2">
      <c r="A34" s="14" t="s">
        <v>3</v>
      </c>
      <c r="B34" s="15"/>
      <c r="C34" s="15"/>
      <c r="D34" s="15"/>
      <c r="E34" s="15"/>
      <c r="F34" s="16"/>
      <c r="G34" s="19">
        <f>SUM(G23:G32)</f>
        <v>76879.698000000004</v>
      </c>
      <c r="H34" s="128">
        <f>SUM(H23:H32)</f>
        <v>76879.698000000004</v>
      </c>
      <c r="J34" s="98" t="s">
        <v>52</v>
      </c>
      <c r="K34" s="99"/>
      <c r="L34" s="99"/>
      <c r="M34" s="99"/>
      <c r="N34" s="100"/>
    </row>
    <row r="35" spans="1:1026" x14ac:dyDescent="0.2">
      <c r="A35" s="10" t="s">
        <v>4</v>
      </c>
      <c r="B35" s="11"/>
      <c r="C35" s="11"/>
      <c r="D35" s="11"/>
      <c r="E35" s="11"/>
      <c r="F35" s="12"/>
      <c r="G35" s="13">
        <f>(G34-G32-G31-G30)</f>
        <v>59144.148000000001</v>
      </c>
      <c r="H35" s="121">
        <f>(H34-H32-H31-H30)</f>
        <v>59144.148000000001</v>
      </c>
      <c r="J35" s="101"/>
      <c r="K35" s="152" t="s">
        <v>17</v>
      </c>
      <c r="L35" s="153" t="s">
        <v>18</v>
      </c>
      <c r="M35" s="153" t="s">
        <v>19</v>
      </c>
      <c r="N35" s="102" t="s">
        <v>20</v>
      </c>
    </row>
    <row r="36" spans="1:1026" ht="17" thickBot="1" x14ac:dyDescent="0.25">
      <c r="A36" s="17" t="s">
        <v>12</v>
      </c>
      <c r="B36" s="18"/>
      <c r="C36" s="18"/>
      <c r="D36" s="18"/>
      <c r="E36" s="18"/>
      <c r="F36" s="22">
        <v>0.56000000000000005</v>
      </c>
      <c r="G36" s="20">
        <f>G35*$F$36</f>
        <v>33120.722880000001</v>
      </c>
      <c r="H36" s="129">
        <f>H35*F36</f>
        <v>33120.722880000001</v>
      </c>
      <c r="J36" s="103" t="s">
        <v>39</v>
      </c>
      <c r="K36" s="152">
        <v>375</v>
      </c>
      <c r="L36" s="153">
        <v>275</v>
      </c>
      <c r="M36" s="153">
        <v>1</v>
      </c>
      <c r="N36" s="102">
        <f>(L36*M36)</f>
        <v>275</v>
      </c>
    </row>
    <row r="37" spans="1:1026" ht="16.5" customHeight="1" thickBot="1" x14ac:dyDescent="0.25">
      <c r="A37" s="36" t="s">
        <v>5</v>
      </c>
      <c r="B37" s="24"/>
      <c r="C37" s="24"/>
      <c r="D37" s="24"/>
      <c r="E37" s="24"/>
      <c r="F37" s="37"/>
      <c r="G37" s="88">
        <f>SUM(G34,G36)</f>
        <v>110000.42088000001</v>
      </c>
      <c r="H37" s="130">
        <f>SUM(H34,H36)</f>
        <v>110000.42088000001</v>
      </c>
      <c r="I37" s="2"/>
      <c r="J37" s="103" t="s">
        <v>50</v>
      </c>
      <c r="K37" s="153">
        <v>69</v>
      </c>
      <c r="L37" s="153">
        <v>80</v>
      </c>
      <c r="M37" s="160">
        <f>2+1.5</f>
        <v>3.5</v>
      </c>
      <c r="N37" s="102">
        <f>(L37*M37)</f>
        <v>280</v>
      </c>
      <c r="Q37" s="3"/>
      <c r="R37" s="3"/>
      <c r="S37" s="3"/>
      <c r="T37" s="3"/>
      <c r="U37" s="3"/>
      <c r="V37" s="3"/>
      <c r="AMF37" s="1"/>
      <c r="AMG37" s="1"/>
      <c r="AMH37" s="1"/>
      <c r="AMI37" s="1"/>
      <c r="AMJ37" s="1"/>
      <c r="AMK37" s="1"/>
      <c r="AML37" s="1"/>
    </row>
    <row r="38" spans="1:1026" ht="16.5" customHeight="1" x14ac:dyDescent="0.2">
      <c r="A38" s="25"/>
      <c r="B38" s="25"/>
      <c r="C38" s="25"/>
      <c r="D38" s="25"/>
      <c r="E38" s="25"/>
      <c r="F38" s="26"/>
      <c r="G38" s="27"/>
      <c r="H38" s="119"/>
      <c r="I38" s="2"/>
      <c r="J38" s="103" t="s">
        <v>31</v>
      </c>
      <c r="K38" s="153">
        <v>60</v>
      </c>
      <c r="L38" s="153">
        <v>75</v>
      </c>
      <c r="M38" s="153">
        <v>4</v>
      </c>
      <c r="N38" s="102">
        <f t="shared" ref="N38:N39" si="0">(L38*M38)</f>
        <v>300</v>
      </c>
      <c r="Q38" s="3"/>
      <c r="R38" s="3"/>
      <c r="S38" s="3"/>
      <c r="T38" s="3"/>
      <c r="U38" s="3"/>
      <c r="V38" s="3"/>
      <c r="AMF38" s="1"/>
      <c r="AMG38" s="1"/>
      <c r="AMH38" s="1"/>
      <c r="AMI38" s="1"/>
      <c r="AMJ38" s="1"/>
      <c r="AMK38" s="1"/>
      <c r="AML38" s="1"/>
    </row>
    <row r="39" spans="1:1026" ht="15.75" customHeight="1" x14ac:dyDescent="0.2">
      <c r="A39" s="25"/>
      <c r="B39" s="25"/>
      <c r="C39" s="25"/>
      <c r="D39" s="25"/>
      <c r="E39" s="25"/>
      <c r="F39" s="26"/>
      <c r="G39" s="27"/>
      <c r="H39" s="119"/>
      <c r="I39" s="2"/>
      <c r="J39" s="103" t="s">
        <v>21</v>
      </c>
      <c r="K39" s="153">
        <v>253</v>
      </c>
      <c r="L39" s="153">
        <v>115</v>
      </c>
      <c r="M39" s="153">
        <f>3</f>
        <v>3</v>
      </c>
      <c r="N39" s="102">
        <f t="shared" si="0"/>
        <v>345</v>
      </c>
      <c r="Q39" s="3"/>
      <c r="R39" s="3"/>
      <c r="S39" s="3"/>
      <c r="T39" s="3"/>
      <c r="U39" s="3"/>
      <c r="V39" s="3"/>
      <c r="AMF39" s="1"/>
      <c r="AMG39" s="1"/>
      <c r="AMH39" s="1"/>
      <c r="AMI39" s="1"/>
      <c r="AMJ39" s="1"/>
      <c r="AMK39" s="1"/>
      <c r="AML39" s="1"/>
    </row>
    <row r="40" spans="1:1026" x14ac:dyDescent="0.2">
      <c r="C40" s="108"/>
      <c r="D40" s="115"/>
      <c r="J40" s="101"/>
      <c r="K40" s="152"/>
      <c r="L40" s="153"/>
      <c r="M40" s="153"/>
      <c r="N40" s="102"/>
    </row>
    <row r="41" spans="1:1026" x14ac:dyDescent="0.2">
      <c r="A41" s="25"/>
      <c r="G41" s="89"/>
      <c r="J41" s="101"/>
      <c r="K41" s="152"/>
      <c r="L41" s="153"/>
      <c r="M41" s="153"/>
      <c r="N41" s="102"/>
    </row>
    <row r="42" spans="1:1026" x14ac:dyDescent="0.2">
      <c r="G42" s="89"/>
      <c r="J42" s="101"/>
      <c r="K42" s="152"/>
      <c r="L42" s="153"/>
      <c r="M42" s="153"/>
      <c r="N42" s="102"/>
    </row>
    <row r="43" spans="1:1026" x14ac:dyDescent="0.2">
      <c r="G43" s="89"/>
      <c r="J43" s="53" t="s">
        <v>53</v>
      </c>
      <c r="K43" s="104"/>
      <c r="L43" s="104"/>
      <c r="M43" s="105" t="s">
        <v>38</v>
      </c>
      <c r="N43" s="106">
        <f>SUM(N36:N41)</f>
        <v>1200</v>
      </c>
    </row>
    <row r="44" spans="1:1026" x14ac:dyDescent="0.2">
      <c r="G44" s="135"/>
      <c r="I44" s="150"/>
      <c r="J44" s="151"/>
      <c r="K44" s="152"/>
      <c r="L44" s="152"/>
      <c r="M44" s="152"/>
      <c r="N44" s="152"/>
      <c r="O44" s="150"/>
    </row>
    <row r="45" spans="1:1026" x14ac:dyDescent="0.2">
      <c r="B45" s="92"/>
      <c r="D45" s="3"/>
      <c r="G45" s="89"/>
      <c r="I45" s="150"/>
      <c r="J45" s="152"/>
      <c r="K45" s="152"/>
      <c r="L45" s="153"/>
      <c r="M45" s="153"/>
      <c r="N45" s="154"/>
      <c r="O45" s="150"/>
    </row>
    <row r="46" spans="1:1026" x14ac:dyDescent="0.2">
      <c r="B46" s="93"/>
      <c r="G46" s="89"/>
      <c r="I46" s="150"/>
      <c r="J46" s="155"/>
      <c r="K46" s="152"/>
      <c r="L46" s="153"/>
      <c r="M46" s="153"/>
      <c r="N46" s="154"/>
      <c r="O46" s="150"/>
    </row>
    <row r="47" spans="1:1026" x14ac:dyDescent="0.2">
      <c r="B47" s="94"/>
      <c r="C47" s="23"/>
      <c r="D47" s="3"/>
      <c r="G47" s="89"/>
      <c r="I47" s="150"/>
      <c r="J47" s="155"/>
      <c r="K47" s="153"/>
      <c r="L47" s="153"/>
      <c r="M47" s="153"/>
      <c r="N47" s="154"/>
      <c r="O47" s="150"/>
    </row>
    <row r="48" spans="1:1026" x14ac:dyDescent="0.2">
      <c r="B48" s="95"/>
      <c r="C48" s="23"/>
      <c r="G48" s="89"/>
      <c r="I48" s="150"/>
      <c r="J48" s="155"/>
      <c r="K48" s="153"/>
      <c r="L48" s="153"/>
      <c r="M48" s="153"/>
      <c r="N48" s="154"/>
      <c r="O48" s="150"/>
    </row>
    <row r="49" spans="1:15" x14ac:dyDescent="0.2">
      <c r="A49" s="25"/>
      <c r="B49" s="25"/>
      <c r="C49" s="25"/>
      <c r="D49" s="25"/>
      <c r="E49" s="25"/>
      <c r="F49" s="26"/>
      <c r="G49" s="27"/>
      <c r="I49" s="150"/>
      <c r="J49" s="155"/>
      <c r="K49" s="153"/>
      <c r="L49" s="153"/>
      <c r="M49" s="153"/>
      <c r="N49" s="154"/>
      <c r="O49" s="150"/>
    </row>
    <row r="50" spans="1:15" x14ac:dyDescent="0.2">
      <c r="A50" s="25"/>
      <c r="B50" s="116"/>
      <c r="C50" s="25"/>
      <c r="D50" s="25"/>
      <c r="E50" s="25"/>
      <c r="F50" s="26"/>
      <c r="G50" s="27"/>
      <c r="I50" s="150"/>
      <c r="J50" s="152"/>
      <c r="K50" s="152"/>
      <c r="L50" s="153"/>
      <c r="M50" s="153"/>
      <c r="N50" s="154"/>
      <c r="O50" s="150"/>
    </row>
    <row r="51" spans="1:15" x14ac:dyDescent="0.2">
      <c r="G51" s="89"/>
      <c r="I51" s="150"/>
      <c r="J51" s="152"/>
      <c r="K51" s="152"/>
      <c r="L51" s="153"/>
      <c r="M51" s="153"/>
      <c r="N51" s="154"/>
      <c r="O51" s="150"/>
    </row>
    <row r="52" spans="1:15" x14ac:dyDescent="0.2">
      <c r="G52" s="89"/>
      <c r="I52" s="150"/>
      <c r="J52" s="152"/>
      <c r="K52" s="152"/>
      <c r="L52" s="153"/>
      <c r="M52" s="153"/>
      <c r="N52" s="154"/>
      <c r="O52" s="150"/>
    </row>
    <row r="53" spans="1:15" x14ac:dyDescent="0.2">
      <c r="A53" s="25"/>
      <c r="B53" s="25"/>
      <c r="C53" s="25"/>
      <c r="D53" s="25"/>
      <c r="E53" s="25"/>
      <c r="F53" s="96"/>
      <c r="G53" s="89"/>
      <c r="I53" s="150"/>
      <c r="J53" s="156"/>
      <c r="K53" s="152"/>
      <c r="L53" s="152"/>
      <c r="M53" s="157"/>
      <c r="N53" s="158"/>
      <c r="O53" s="150"/>
    </row>
    <row r="54" spans="1:15" ht="15.5" customHeight="1" x14ac:dyDescent="0.2">
      <c r="A54" s="25"/>
      <c r="B54" s="25"/>
      <c r="C54" s="25"/>
      <c r="D54" s="25"/>
      <c r="E54" s="25"/>
      <c r="F54" s="96"/>
      <c r="G54" s="97"/>
      <c r="I54" s="150"/>
      <c r="J54" s="159"/>
      <c r="K54" s="159"/>
      <c r="L54" s="159"/>
      <c r="M54" s="159"/>
      <c r="N54" s="159"/>
      <c r="O54" s="150"/>
    </row>
    <row r="55" spans="1:15" x14ac:dyDescent="0.2">
      <c r="I55" s="150"/>
      <c r="J55" s="150"/>
      <c r="K55" s="150"/>
      <c r="L55" s="150"/>
      <c r="M55" s="150"/>
      <c r="N55" s="150"/>
      <c r="O55" s="150"/>
    </row>
  </sheetData>
  <mergeCells count="6">
    <mergeCell ref="B31:C31"/>
    <mergeCell ref="B32:C32"/>
    <mergeCell ref="H8:H9"/>
    <mergeCell ref="A7:F8"/>
    <mergeCell ref="A14:B14"/>
    <mergeCell ref="D15:F15"/>
  </mergeCells>
  <printOptions horizontalCentered="1"/>
  <pageMargins left="0.7" right="0.7" top="0.75" bottom="0.75" header="0.51180555555555496" footer="0.51180555555555496"/>
  <pageSetup scale="42" firstPageNumber="0" orientation="landscape" r:id="rId1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Budget</vt:lpstr>
      <vt:lpstr>Budget!Print_Area</vt:lpstr>
      <vt:lpstr>Print_Area_1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gbyoung</dc:creator>
  <cp:lastModifiedBy>Walsh, Cara</cp:lastModifiedBy>
  <cp:revision>0</cp:revision>
  <cp:lastPrinted>2017-04-13T18:56:09Z</cp:lastPrinted>
  <dcterms:created xsi:type="dcterms:W3CDTF">2011-07-15T12:37:45Z</dcterms:created>
  <dcterms:modified xsi:type="dcterms:W3CDTF">2026-04-09T21:21:32Z</dcterms:modified>
</cp:coreProperties>
</file>